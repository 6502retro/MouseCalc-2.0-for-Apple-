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<sst xmlns="http://schemas.openxmlformats.org/spreadsheetml/2006/main" count="24" uniqueCount="24">
  <si>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Household Budget 2026</t>
  </si>
  <si>
    <t xml:space="preserve">Item</t>
  </si>
  <si>
    <t xml:space="preserve">Price</t>
  </si>
  <si>
    <t xml:space="preserve">Qty</t>
  </si>
  <si>
    <t xml:space="preserve">Total</t>
  </si>
  <si>
    <t xml:space="preserve">Rent</t>
  </si>
  <si>
    <t xml:space="preserve">Groceries</t>
  </si>
  <si>
    <t xml:space="preserve">Power</t>
  </si>
  <si>
    <t xml:space="preserve">Internet</t>
  </si>
  <si>
    <t xml:space="preserve">Subtotal</t>
  </si>
  <si>
    <t xml:space="preserve">Tax 7%</t>
  </si>
  <si>
    <t xml:space="preserve">Grand total</t>
  </si>
  <si>
    <t xml:space="preserve">Precedence</t>
  </si>
  <si>
    <t xml:space="preserve">Average</t>
  </si>
  <si>
    <t xml:space="preserve">2nd price</t>
  </si>
  <si>
    <t xml:space="preserve">Lookup</t>
  </si>
  <si>
    <t xml:space="preserve">Trunc</t>
  </si>
  <si>
    <t xml:space="preserve">If</t>
  </si>
  <si>
    <t xml:space="preserve">Neg</t>
  </si>
  <si>
    <t xml:space="preserve">Date</t>
  </si>
  <si>
    <t xml:space="preserve">Long</t>
  </si>
  <si>
    <t xml:space="preserve">LLLLLLLLLLLLLLLLLLLLLLLLLLLLLLLLLLLLLLLLLLLLLLLLLLLLLLLLLLLLLLLLLLLLLLLLLLLLLLLLLLLLLLLLLLLLLLLLLLLL</t>
  </si>
  <si>
    <t xml:space="preserve">Max/Min</t>
  </si>
  <si>
    <t xml:space="preserve">Center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</si>
</sst>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"/>
    <numFmt numFmtId="167" formatCode="#,##0.00"/>
    <numFmt numFmtId="168" formatCode="m/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2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6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</row>
    <row r="4" customFormat="false" ht="15" hidden="false" customHeight="false" outlineLevel="0" collapsed="false">
      <c r="A4" s="0" t="s">
        <v>5</v>
      </c>
      <c r="B4" s="1" t="n">
        <v>1250</v>
      </c>
      <c r="C4" s="0" t="n">
        <v>1</v>
      </c>
      <c r="D4" s="1" t="n">
        <f aca="false">B4*C4+0*B4</f>
        <v>1250</v>
      </c>
    </row>
    <row r="5" customFormat="false" ht="15" hidden="false" customHeight="false" outlineLevel="0" collapsed="false">
      <c r="A5" s="0" t="s">
        <v>6</v>
      </c>
      <c r="B5" s="1" t="n">
        <v>87.45</v>
      </c>
      <c r="C5" s="0" t="n">
        <v>4</v>
      </c>
      <c r="D5" s="1" t="n">
        <f aca="false">B5*C5+0*B5</f>
        <v>349.8</v>
      </c>
    </row>
    <row r="6" customFormat="false" ht="15" hidden="false" customHeight="false" outlineLevel="0" collapsed="false">
      <c r="A6" s="0" t="s">
        <v>7</v>
      </c>
      <c r="B6" s="1" t="n">
        <v>112.3</v>
      </c>
      <c r="C6" s="0" t="n">
        <v>1</v>
      </c>
      <c r="D6" s="1" t="n">
        <f aca="false">B6*C6+0*B6</f>
        <v>112.3</v>
      </c>
    </row>
    <row r="7" customFormat="false" ht="15" hidden="false" customHeight="false" outlineLevel="0" collapsed="false">
      <c r="A7" s="0" t="s">
        <v>8</v>
      </c>
      <c r="B7" s="1" t="n">
        <v>59.99</v>
      </c>
      <c r="C7" s="0" t="n">
        <v>1</v>
      </c>
      <c r="D7" s="1" t="n">
        <f aca="false">B7*C7+0*B7</f>
        <v>59.99</v>
      </c>
    </row>
    <row r="9" customFormat="false" ht="15" hidden="false" customHeight="false" outlineLevel="0" collapsed="false">
      <c r="A9" s="0" t="s">
        <v>9</v>
      </c>
      <c r="D9" s="1" t="n">
        <f aca="false">SUM(D4:D7)</f>
        <v>1772.09</v>
      </c>
    </row>
    <row r="10" customFormat="false" ht="15" hidden="false" customHeight="false" outlineLevel="0" collapsed="false">
      <c r="A10" s="0" t="s">
        <v>10</v>
      </c>
      <c r="D10" s="2" t="n">
        <f aca="false">D9*7%</f>
        <v>124.0463</v>
      </c>
    </row>
    <row r="11" customFormat="false" ht="15" hidden="false" customHeight="false" outlineLevel="0" collapsed="false">
      <c r="A11" s="0" t="s">
        <v>11</v>
      </c>
      <c r="D11" s="3" t="n">
        <f aca="false">D9+D10*2-D10</f>
        <v>1896.1363</v>
      </c>
    </row>
    <row r="13" customFormat="false" ht="15" hidden="false" customHeight="false" outlineLevel="0" collapsed="false">
      <c r="A13" s="0" t="s">
        <v>12</v>
      </c>
      <c r="B13" s="0" t="n">
        <f aca="false">2+3*4^2-10/5</f>
        <v>48</v>
      </c>
    </row>
    <row r="14" customFormat="false" ht="15" hidden="false" customHeight="false" outlineLevel="0" collapsed="false">
      <c r="A14" s="0" t="s">
        <v>13</v>
      </c>
      <c r="B14" s="0" t="n">
        <f aca="false">ROUND(AVERAGE(B4:B7),2)</f>
        <v>377.44</v>
      </c>
    </row>
    <row r="15" customFormat="false" ht="15" hidden="false" customHeight="false" outlineLevel="0" collapsed="false">
      <c r="A15" s="0" t="s">
        <v>14</v>
      </c>
      <c r="B15" s="1" t="n">
        <f aca="false">INDEX(B4:B7,2)</f>
        <v>87.45</v>
      </c>
    </row>
    <row r="16" customFormat="false" ht="15" hidden="false" customHeight="false" outlineLevel="0" collapsed="false">
      <c r="A16" s="0" t="s">
        <v>15</v>
      </c>
      <c r="B16" s="0" t="n">
        <f aca="false">VLOOKUP("Power",A4:B7,2,FALSE())</f>
        <v>112.3</v>
      </c>
    </row>
    <row r="17" customFormat="false" ht="15" hidden="false" customHeight="false" outlineLevel="0" collapsed="false">
      <c r="A17" s="0" t="s">
        <v>16</v>
      </c>
      <c r="B17" s="0" t="n">
        <f aca="false">TRUNC(-2.5)</f>
        <v>-2</v>
      </c>
      <c r="C17" s="0" t="n">
        <f aca="false">INT(-2.5)</f>
        <v>-3</v>
      </c>
    </row>
    <row r="18" customFormat="false" ht="15" hidden="false" customHeight="false" outlineLevel="0" collapsed="false">
      <c r="A18" s="0" t="s">
        <v>17</v>
      </c>
      <c r="B18" s="0" t="n">
        <f aca="false">IF(D9&gt;1000,1,0)</f>
        <v>1</v>
      </c>
    </row>
    <row r="19" customFormat="false" ht="15" hidden="false" customHeight="false" outlineLevel="0" collapsed="false">
      <c r="A19" s="0" t="s">
        <v>18</v>
      </c>
      <c r="B19" s="0" t="n">
        <f aca="false">-B4+B5*-2</f>
        <v>-1424.9</v>
      </c>
    </row>
    <row r="20" customFormat="false" ht="15" hidden="false" customHeight="false" outlineLevel="0" collapsed="false">
      <c r="A20" s="0" t="s">
        <v>19</v>
      </c>
      <c r="B20" s="4" t="n">
        <v>46315</v>
      </c>
    </row>
    <row r="21" customFormat="false" ht="15" hidden="false" customHeight="false" outlineLevel="0" collapsed="false">
      <c r="A21" s="0" t="s">
        <v>20</v>
      </c>
      <c r="B21" s="0" t="s">
        <v>21</v>
      </c>
    </row>
    <row r="22" customFormat="false" ht="15" hidden="false" customHeight="false" outlineLevel="0" collapsed="false">
      <c r="A22" s="0" t="s">
        <v>22</v>
      </c>
      <c r="B22" s="0" t="n">
        <f aca="false">MAX(B4:B7)-MIN(B4:B7)+COUNT(B4:B7)</f>
        <v>1194.01</v>
      </c>
    </row>
    <row r="23" customFormat="false" ht="15" hidden="false" customHeight="false" outlineLevel="0" collapsed="false">
      <c r="A23" s="5" t="s">
        <v>23</v>
      </c>
    </row>
    <row r="254" customFormat="false" ht="15" hidden="false" customHeight="false" outlineLevel="0" collapsed="false">
      <c r="BJ254" s="0" t="n">
        <v>4242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2026-10-20T13:40:39Z</dcterms:created>
  <dc:creator>openpyxl</dc:creator>
  <dc:description/>
  <dc:language>en-US</dc:language>
  <cp:lastModifiedBy/>
  <dcterms:modified xsi:type="dcterms:W3CDTF">2026-10-20T13:40:39Z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